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cd3fe3d9b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领域对照" sheetId="1" r:id="R1c9e93d322ec4bb1"/>
    <x:sheet xmlns:r="http://schemas.openxmlformats.org/officeDocument/2006/relationships" name="22项方向" sheetId="2" r:id="R3df16248ac2245a1"/>
    <x:sheet xmlns:r="http://schemas.openxmlformats.org/officeDocument/2006/relationships" name="指标权重" sheetId="3" r:id="R6265f5375698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"/>
    <x:numFmt numFmtId="202" formatCode="0"/>
    <x:numFmt numFmtId="203" formatCode="0.000"/>
    <x:numFmt numFmtId="204" formatCode="0.0%"/>
  </x:numFmts>
  <x:fonts count="6">
    <x:font>
      <x:sz val="11"/>
      <x:name val="Carlito"/>
    </x:font>
    <x:font>
      <x:sz val="10"/>
      <x:color rgb="FF243246"/>
      <x:name val="Microsoft YaHei"/>
    </x:font>
    <x:font>
      <x:b/>
      <x:sz val="14"/>
      <x:color rgb="FF243246"/>
      <x:name val="Microsoft YaHei"/>
    </x:font>
    <x:font>
      <x:b/>
      <x:sz val="10"/>
      <x:color rgb="FFFFFFFF"/>
      <x:name val="Microsoft YaHei"/>
    </x:font>
    <x:font>
      <x:b/>
      <x:sz val="10"/>
      <x:color rgb="FF243246"/>
      <x:name val="Microsoft YaHei"/>
    </x:font>
    <x:font>
      <x:sz val="10"/>
      <x:color rgb="FF5B657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14D6A"/>
      </x:patternFill>
    </x:fill>
    <x:fill>
      <x:patternFill patternType="solid">
        <x:fgColor rgb="FFF0F4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8295AC"/>
      </x:bottom>
      <x:diagonal/>
    </x:border>
    <x:border>
      <x:left/>
      <x:right/>
      <x:top/>
      <x:bottom style="thin">
        <x:color rgb="FFCCD6E1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3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5C5CB"/>
        </x:patternFill>
      </x:fill>
    </x:dxf>
    <x:dxf>
      <x:fill>
        <x:patternFill patternType="solid">
          <x:bgColor rgb="FFC7DE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e248952074ab0" /><Relationship Type="http://schemas.openxmlformats.org/officeDocument/2006/relationships/theme" Target="/xl/theme/theme1.xml" Id="R18ff4fb5aa8f4d3f" /><Relationship Type="http://schemas.openxmlformats.org/officeDocument/2006/relationships/sharedStrings" Target="/xl/sharedStrings.xml" Id="Ra84c8e5190bc4d6a" /><Relationship Type="http://schemas.openxmlformats.org/officeDocument/2006/relationships/worksheet" Target="/xl/worksheets/sheet1.xml" Id="R1c9e93d322ec4bb1" /><Relationship Type="http://schemas.openxmlformats.org/officeDocument/2006/relationships/worksheet" Target="/xl/worksheets/sheet2.xml" Id="R3df16248ac2245a1" /><Relationship Type="http://schemas.openxmlformats.org/officeDocument/2006/relationships/worksheet" Target="/xl/worksheets/sheet3.xml" Id="R6265f53756984d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4D6A"/>
  </x:sheetPr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第一问：分领域方向与原方法对照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 t="str">
        <x:v>A1+A2+A3：272,505条记录。领域Q均按样本冲突倒数聚合。</x:v>
      </x:c>
      <x:c r="B4" s="2"/>
      <x:c r="C4" s="2"/>
      <x:c r="D4" s="2"/>
      <x:c r="E4" s="2"/>
      <x:c r="F4" s="2"/>
      <x:c r="G4" s="2"/>
      <x:c r="H4" s="2"/>
      <x:c r="I4" s="2"/>
    </x:row>
    <x:row r="5" ht="38" customHeight="1">
      <x:c r="A5" s="8" t="str">
        <x:v>领域</x:v>
      </x:c>
      <x:c r="B5" s="8" t="str">
        <x:v>记录数</x:v>
      </x:c>
      <x:c r="C5" s="8" t="str">
        <x:v>原始Q</x:v>
      </x:c>
      <x:c r="D5" s="8" t="str">
        <x:v>分领域Q</x:v>
      </x:c>
      <x:c r="E5" s="8" t="str">
        <x:v>ΔQ</x:v>
      </x:c>
      <x:c r="F5" s="8" t="str">
        <x:v>原排名</x:v>
      </x:c>
      <x:c r="G5" s="8" t="str">
        <x:v>新排名</x:v>
      </x:c>
      <x:c r="H5" s="8" t="str">
        <x:v>原冲突均值</x:v>
      </x:c>
      <x:c r="I5" s="8" t="str">
        <x:v>新冲突均值</x:v>
      </x:c>
    </x:row>
    <x:row r="6" ht="24" customHeight="1">
      <x:c r="A6" s="2" t="str">
        <x:v>ArXiv</x:v>
      </x:c>
      <x:c r="B6" s="11" t="n">
        <x:v>18942</x:v>
      </x:c>
      <x:c r="C6" s="14" t="n">
        <x:v>0.485535635131081</x:v>
      </x:c>
      <x:c r="D6" s="14" t="n">
        <x:v>0.463394706891632</x:v>
      </x:c>
      <x:c r="E6" s="14" t="n">
        <x:f>D6-C6</x:f>
        <x:v>-0.02214092823944902</x:v>
      </x:c>
      <x:c r="F6" s="17" t="n">
        <x:v>2</x:v>
      </x:c>
      <x:c r="G6" s="17" t="n">
        <x:v>7</x:v>
      </x:c>
      <x:c r="H6" s="14" t="n">
        <x:v>0.223376154624534</x:v>
      </x:c>
      <x:c r="I6" s="14" t="n">
        <x:v>0.111962367409063</x:v>
      </x:c>
    </x:row>
    <x:row r="7" ht="24" customHeight="1">
      <x:c r="A7" s="9" t="str">
        <x:v>Book</x:v>
      </x:c>
      <x:c r="B7" s="12" t="n">
        <x:v>171</x:v>
      </x:c>
      <x:c r="C7" s="15" t="n">
        <x:v>0.631073791800373</x:v>
      </x:c>
      <x:c r="D7" s="15" t="n">
        <x:v>0.583161410942737</x:v>
      </x:c>
      <x:c r="E7" s="14" t="n">
        <x:f>D7-C7</x:f>
        <x:v>-0.04791238085763605</x:v>
      </x:c>
      <x:c r="F7" s="18" t="n">
        <x:v>1</x:v>
      </x:c>
      <x:c r="G7" s="18" t="n">
        <x:v>2</x:v>
      </x:c>
      <x:c r="H7" s="15" t="n">
        <x:v>0.274525122405452</x:v>
      </x:c>
      <x:c r="I7" s="15" t="n">
        <x:v>0.182932962048502</x:v>
      </x:c>
    </x:row>
    <x:row r="8" ht="24" customHeight="1">
      <x:c r="A8" s="2" t="str">
        <x:v>C4</x:v>
      </x:c>
      <x:c r="B8" s="11" t="n">
        <x:v>10000</x:v>
      </x:c>
      <x:c r="C8" s="14" t="n">
        <x:v>0.429242418360596</x:v>
      </x:c>
      <x:c r="D8" s="14" t="n">
        <x:v>0.482359102622337</x:v>
      </x:c>
      <x:c r="E8" s="14" t="n">
        <x:f>D8-C8</x:f>
        <x:v>0.05311668426174099</x:v>
      </x:c>
      <x:c r="F8" s="17" t="n">
        <x:v>3</x:v>
      </x:c>
      <x:c r="G8" s="17" t="n">
        <x:v>5</x:v>
      </x:c>
      <x:c r="H8" s="14" t="n">
        <x:v>0.421470546828284</x:v>
      </x:c>
      <x:c r="I8" s="14" t="n">
        <x:v>0.375833158456178</x:v>
      </x:c>
    </x:row>
    <x:row r="9" ht="24" customHeight="1">
      <x:c r="A9" s="9" t="str">
        <x:v>CommonCrawl</x:v>
      </x:c>
      <x:c r="B9" s="12" t="n">
        <x:v>9640</x:v>
      </x:c>
      <x:c r="C9" s="15" t="n">
        <x:v>0.407975092220713</x:v>
      </x:c>
      <x:c r="D9" s="15" t="n">
        <x:v>0.4994861252595</x:v>
      </x:c>
      <x:c r="E9" s="14" t="n">
        <x:f>D9-C9</x:f>
        <x:v>0.09151103303878699</x:v>
      </x:c>
      <x:c r="F9" s="18" t="n">
        <x:v>4</x:v>
      </x:c>
      <x:c r="G9" s="18" t="n">
        <x:v>4</x:v>
      </x:c>
      <x:c r="H9" s="15" t="n">
        <x:v>0.324291367914141</x:v>
      </x:c>
      <x:c r="I9" s="15" t="n">
        <x:v>0.343055024522878</x:v>
      </x:c>
    </x:row>
    <x:row r="10" ht="24" customHeight="1">
      <x:c r="A10" s="2" t="str">
        <x:v>GitHub</x:v>
      </x:c>
      <x:c r="B10" s="11" t="n">
        <x:v>213752</x:v>
      </x:c>
      <x:c r="C10" s="14" t="n">
        <x:v>0.385891019130227</x:v>
      </x:c>
      <x:c r="D10" s="14" t="n">
        <x:v>0.598841020991859</x:v>
      </x:c>
      <x:c r="E10" s="14" t="n">
        <x:f>D10-C10</x:f>
        <x:v>0.212950001861632</x:v>
      </x:c>
      <x:c r="F10" s="17" t="n">
        <x:v>5</x:v>
      </x:c>
      <x:c r="G10" s="17" t="n">
        <x:v>1</x:v>
      </x:c>
      <x:c r="H10" s="14" t="n">
        <x:v>0.123753682771058</x:v>
      </x:c>
      <x:c r="I10" s="14" t="n">
        <x:v>0.085813632680169</x:v>
      </x:c>
    </x:row>
    <x:row r="11" ht="24" customHeight="1">
      <x:c r="A11" s="9" t="str">
        <x:v>StackExchange</x:v>
      </x:c>
      <x:c r="B11" s="12" t="n">
        <x:v>10000</x:v>
      </x:c>
      <x:c r="C11" s="15" t="n">
        <x:v>0.339026365199826</x:v>
      </x:c>
      <x:c r="D11" s="15" t="n">
        <x:v>0.474895612122134</x:v>
      </x:c>
      <x:c r="E11" s="14" t="n">
        <x:f>D11-C11</x:f>
        <x:v>0.135869246922308</x:v>
      </x:c>
      <x:c r="F11" s="18" t="n">
        <x:v>7</x:v>
      </x:c>
      <x:c r="G11" s="18" t="n">
        <x:v>6</x:v>
      </x:c>
      <x:c r="H11" s="15" t="n">
        <x:v>0.180368612766692</x:v>
      </x:c>
      <x:c r="I11" s="15" t="n">
        <x:v>0.064587002116654</x:v>
      </x:c>
    </x:row>
    <x:row r="12" ht="24" customHeight="1">
      <x:c r="A12" s="10" t="str">
        <x:v>Wikipedia</x:v>
      </x:c>
      <x:c r="B12" s="13" t="n">
        <x:v>10000</x:v>
      </x:c>
      <x:c r="C12" s="16" t="n">
        <x:v>0.364512402480831</x:v>
      </x:c>
      <x:c r="D12" s="16" t="n">
        <x:v>0.517927819269811</x:v>
      </x:c>
      <x:c r="E12" s="14" t="n">
        <x:f>D12-C12</x:f>
        <x:v>0.15341541678898002</x:v>
      </x:c>
      <x:c r="F12" s="19" t="n">
        <x:v>6</x:v>
      </x:c>
      <x:c r="G12" s="19" t="n">
        <x:v>3</x:v>
      </x:c>
      <x:c r="H12" s="16" t="n">
        <x:v>0.166342215575343</x:v>
      </x:c>
      <x:c r="I12" s="16" t="n">
        <x:v>0.113806997167798</x:v>
      </x:c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0" t="str">
        <x:v>域内样本排序变化</x:v>
      </x:c>
      <x:c r="B15" s="2"/>
      <x:c r="C15" s="2"/>
      <x:c r="D15" s="2"/>
      <x:c r="E15" s="2"/>
      <x:c r="F15" s="2"/>
      <x:c r="G15" s="2"/>
      <x:c r="H15" s="2"/>
      <x:c r="I15" s="2"/>
    </x:row>
    <x:row r="16" ht="38" customHeight="1">
      <x:c r="A16" s="8" t="str">
        <x:v>领域</x:v>
      </x:c>
      <x:c r="B16" s="8" t="str">
        <x:v>记录数</x:v>
      </x:c>
      <x:c r="C16" s="8" t="str">
        <x:v>Spearman</x:v>
      </x:c>
      <x:c r="D16" s="8" t="str">
        <x:v>Kendall</x:v>
      </x:c>
      <x:c r="E16" s="8" t="str">
        <x:v>前10%重叠</x:v>
      </x:c>
      <x:c r="F16" s="8" t="str">
        <x:v>平均|ΔQ|</x:v>
      </x:c>
      <x:c r="G16" s="8" t="str">
        <x:v>原标准差</x:v>
      </x:c>
      <x:c r="H16" s="8" t="str">
        <x:v>新标准差</x:v>
      </x:c>
      <x:c r="I16" s="2"/>
    </x:row>
    <x:row r="17" ht="24" customHeight="1">
      <x:c r="A17" s="2" t="str">
        <x:v>全部记录</x:v>
      </x:c>
      <x:c r="B17" s="11" t="n">
        <x:v>272505</x:v>
      </x:c>
      <x:c r="C17" s="23" t="n">
        <x:v>0.149961604245647</x:v>
      </x:c>
      <x:c r="D17" s="23" t="n">
        <x:v>0.122596349884361</x:v>
      </x:c>
      <x:c r="E17" s="26" t="n">
        <x:v>0.085684928993431</x:v>
      </x:c>
      <x:c r="F17" s="14" t="n">
        <x:v>0.185154353024295</x:v>
      </x:c>
      <x:c r="G17" s="14" t="n">
        <x:v>0.052791099114103</x:v>
      </x:c>
      <x:c r="H17" s="14" t="n">
        <x:v>0.062589436858169</x:v>
      </x:c>
      <x:c r="I17" s="2"/>
    </x:row>
    <x:row r="18" ht="24" customHeight="1">
      <x:c r="A18" s="9" t="str">
        <x:v>ArXiv</x:v>
      </x:c>
      <x:c r="B18" s="12" t="n">
        <x:v>18942</x:v>
      </x:c>
      <x:c r="C18" s="24" t="n">
        <x:v>0.352662157232304</x:v>
      </x:c>
      <x:c r="D18" s="24" t="n">
        <x:v>0.250544437581139</x:v>
      </x:c>
      <x:c r="E18" s="27" t="n">
        <x:v>0.26754617414248</x:v>
      </x:c>
      <x:c r="F18" s="15" t="n">
        <x:v>0.059199639672844</x:v>
      </x:c>
      <x:c r="G18" s="15" t="n">
        <x:v>0.076264693097075</x:v>
      </x:c>
      <x:c r="H18" s="15" t="n">
        <x:v>0.04341484686763</x:v>
      </x:c>
      <x:c r="I18" s="2"/>
    </x:row>
    <x:row r="19" ht="24" customHeight="1">
      <x:c r="A19" s="2" t="str">
        <x:v>Book</x:v>
      </x:c>
      <x:c r="B19" s="11" t="n">
        <x:v>171</x:v>
      </x:c>
      <x:c r="C19" s="23" t="n">
        <x:v>0.635997312021504</x:v>
      </x:c>
      <x:c r="D19" s="23" t="n">
        <x:v>0.467079463364293</x:v>
      </x:c>
      <x:c r="E19" s="26" t="n">
        <x:v>0.555555555555556</x:v>
      </x:c>
      <x:c r="F19" s="14" t="n">
        <x:v>0.075319576482599</x:v>
      </x:c>
      <x:c r="G19" s="14" t="n">
        <x:v>0.06049631523325</x:v>
      </x:c>
      <x:c r="H19" s="14" t="n">
        <x:v>0.036818528875021</x:v>
      </x:c>
      <x:c r="I19" s="2"/>
    </x:row>
    <x:row r="20" ht="24" customHeight="1">
      <x:c r="A20" s="9" t="str">
        <x:v>C4</x:v>
      </x:c>
      <x:c r="B20" s="12" t="n">
        <x:v>10000</x:v>
      </x:c>
      <x:c r="C20" s="24" t="n">
        <x:v>-0.019027164910272</x:v>
      </x:c>
      <x:c r="D20" s="24" t="n">
        <x:v>-0.015409140914091</x:v>
      </x:c>
      <x:c r="E20" s="27" t="n">
        <x:v>0.135</x:v>
      </x:c>
      <x:c r="F20" s="15" t="n">
        <x:v>0.060174935776356</x:v>
      </x:c>
      <x:c r="G20" s="15" t="n">
        <x:v>0.033146465177344</x:v>
      </x:c>
      <x:c r="H20" s="15" t="n">
        <x:v>0.038879331820458</x:v>
      </x:c>
      <x:c r="I20" s="2"/>
    </x:row>
    <x:row r="21" ht="24" customHeight="1">
      <x:c r="A21" s="2" t="str">
        <x:v>CommonCrawl</x:v>
      </x:c>
      <x:c r="B21" s="11" t="n">
        <x:v>9640</x:v>
      </x:c>
      <x:c r="C21" s="23" t="n">
        <x:v>0.247710788221817</x:v>
      </x:c>
      <x:c r="D21" s="23" t="n">
        <x:v>0.167057196322512</x:v>
      </x:c>
      <x:c r="E21" s="26" t="n">
        <x:v>0.294605809128631</x:v>
      </x:c>
      <x:c r="F21" s="14" t="n">
        <x:v>0.091431760272065</x:v>
      </x:c>
      <x:c r="G21" s="14" t="n">
        <x:v>0.050084323335531</x:v>
      </x:c>
      <x:c r="H21" s="14" t="n">
        <x:v>0.035978585014494</x:v>
      </x:c>
      <x:c r="I21" s="2"/>
    </x:row>
    <x:row r="22" ht="24" customHeight="1">
      <x:c r="A22" s="9" t="str">
        <x:v>GitHub</x:v>
      </x:c>
      <x:c r="B22" s="12" t="n">
        <x:v>213752</x:v>
      </x:c>
      <x:c r="C22" s="24" t="n">
        <x:v>0.450571979500533</x:v>
      </x:c>
      <x:c r="D22" s="24" t="n">
        <x:v>0.31743525066531</x:v>
      </x:c>
      <x:c r="E22" s="27" t="n">
        <x:v>0.225626871257485</x:v>
      </x:c>
      <x:c r="F22" s="15" t="n">
        <x:v>0.210560181466221</x:v>
      </x:c>
      <x:c r="G22" s="15" t="n">
        <x:v>0.041720500729251</x:v>
      </x:c>
      <x:c r="H22" s="15" t="n">
        <x:v>0.040995045649932</x:v>
      </x:c>
      <x:c r="I22" s="2"/>
    </x:row>
    <x:row r="23" ht="24" customHeight="1">
      <x:c r="A23" s="2" t="str">
        <x:v>StackExchange</x:v>
      </x:c>
      <x:c r="B23" s="11" t="n">
        <x:v>10000</x:v>
      </x:c>
      <x:c r="C23" s="23" t="n">
        <x:v>0.721396166797962</x:v>
      </x:c>
      <x:c r="D23" s="23" t="n">
        <x:v>0.541600040004</x:v>
      </x:c>
      <x:c r="E23" s="26" t="n">
        <x:v>0.606</x:v>
      </x:c>
      <x:c r="F23" s="14" t="n">
        <x:v>0.130391396603735</x:v>
      </x:c>
      <x:c r="G23" s="14" t="n">
        <x:v>0.032425443057271</x:v>
      </x:c>
      <x:c r="H23" s="14" t="n">
        <x:v>0.032605764841928</x:v>
      </x:c>
      <x:c r="I23" s="2"/>
    </x:row>
    <x:row r="24" ht="24" customHeight="1">
      <x:c r="A24" s="21" t="str">
        <x:v>Wikipedia</x:v>
      </x:c>
      <x:c r="B24" s="22" t="n">
        <x:v>10000</x:v>
      </x:c>
      <x:c r="C24" s="25" t="n">
        <x:v>0.802690631926906</x:v>
      </x:c>
      <x:c r="D24" s="25" t="n">
        <x:v>0.610080208020802</x:v>
      </x:c>
      <x:c r="E24" s="28" t="n">
        <x:v>0.571</x:v>
      </x:c>
      <x:c r="F24" s="29" t="n">
        <x:v>0.152652234703284</x:v>
      </x:c>
      <x:c r="G24" s="29" t="n">
        <x:v>0.0349815709148</x:v>
      </x:c>
      <x:c r="H24" s="29" t="n">
        <x:v>0.029472966959604</x:v>
      </x:c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20" t="str">
        <x:v>质量变化分解：方向、指标赋权、冲突聚合（含有效样本变化）</x:v>
      </x:c>
      <x:c r="B27" s="2"/>
      <x:c r="C27" s="2"/>
      <x:c r="D27" s="2"/>
      <x:c r="E27" s="2"/>
      <x:c r="F27" s="2"/>
      <x:c r="G27" s="2"/>
      <x:c r="H27" s="2"/>
      <x:c r="I27" s="2"/>
    </x:row>
    <x:row r="28" ht="38" customHeight="1">
      <x:c r="A28" s="8" t="str">
        <x:v>领域</x:v>
      </x:c>
      <x:c r="B28" s="8" t="str">
        <x:v>方向贡献</x:v>
      </x:c>
      <x:c r="C28" s="8" t="str">
        <x:v>赋权贡献</x:v>
      </x:c>
      <x:c r="D28" s="8" t="str">
        <x:v>聚合贡献</x:v>
      </x:c>
      <x:c r="E28" s="8" t="str">
        <x:v>总ΔQ</x:v>
      </x:c>
      <x:c r="F28" s="2"/>
      <x:c r="G28" s="2"/>
      <x:c r="H28" s="2"/>
      <x:c r="I28" s="2"/>
    </x:row>
    <x:row r="29" ht="24" customHeight="1">
      <x:c r="A29" s="2" t="str">
        <x:v>ArXiv</x:v>
      </x:c>
      <x:c r="B29" s="14" t="n">
        <x:v>-0.020633485503005</x:v>
      </x:c>
      <x:c r="C29" s="14" t="n">
        <x:v>0.000364218084458</x:v>
      </x:c>
      <x:c r="D29" s="14" t="n">
        <x:v>-0.001871660820902</x:v>
      </x:c>
      <x:c r="E29" s="14" t="n">
        <x:f>SUM(B29:D29)</x:f>
        <x:v>-0.022140928239449</x:v>
      </x:c>
      <x:c r="F29" s="2"/>
      <x:c r="G29" s="2"/>
      <x:c r="H29" s="2"/>
      <x:c r="I29" s="2"/>
    </x:row>
    <x:row r="30" ht="24" customHeight="1">
      <x:c r="A30" s="9" t="str">
        <x:v>Book</x:v>
      </x:c>
      <x:c r="B30" s="15" t="n">
        <x:v>0.033796508461413</x:v>
      </x:c>
      <x:c r="C30" s="15" t="n">
        <x:v>-0.083990521642496</x:v>
      </x:c>
      <x:c r="D30" s="15" t="n">
        <x:v>0.002281632323447</x:v>
      </x:c>
      <x:c r="E30" s="14" t="n">
        <x:f>SUM(B30:D30)</x:f>
        <x:v>-0.047912380857636</x:v>
      </x:c>
      <x:c r="F30" s="2"/>
      <x:c r="G30" s="2"/>
      <x:c r="H30" s="2"/>
      <x:c r="I30" s="2"/>
    </x:row>
    <x:row r="31" ht="24" customHeight="1">
      <x:c r="A31" s="2" t="str">
        <x:v>C4</x:v>
      </x:c>
      <x:c r="B31" s="14" t="n">
        <x:v>0.087017622371117</x:v>
      </x:c>
      <x:c r="C31" s="14" t="n">
        <x:v>-0.033490067892404</x:v>
      </x:c>
      <x:c r="D31" s="14" t="n">
        <x:v>-0.000410870216973</x:v>
      </x:c>
      <x:c r="E31" s="14" t="n">
        <x:f>SUM(B31:D31)</x:f>
        <x:v>0.053116684261739995</x:v>
      </x:c>
      <x:c r="F31" s="2"/>
      <x:c r="G31" s="2"/>
      <x:c r="H31" s="2"/>
      <x:c r="I31" s="2"/>
    </x:row>
    <x:row r="32" ht="24" customHeight="1">
      <x:c r="A32" s="9" t="str">
        <x:v>CommonCrawl</x:v>
      </x:c>
      <x:c r="B32" s="15" t="n">
        <x:v>0.117250000131234</x:v>
      </x:c>
      <x:c r="C32" s="15" t="n">
        <x:v>-0.026491624147419</x:v>
      </x:c>
      <x:c r="D32" s="15" t="n">
        <x:v>0.000752657054972</x:v>
      </x:c>
      <x:c r="E32" s="14" t="n">
        <x:f>SUM(B32:D32)</x:f>
        <x:v>0.091511033038787</x:v>
      </x:c>
      <x:c r="F32" s="2"/>
      <x:c r="G32" s="2"/>
      <x:c r="H32" s="2"/>
      <x:c r="I32" s="2"/>
    </x:row>
    <x:row r="33" ht="24" customHeight="1">
      <x:c r="A33" s="2" t="str">
        <x:v>GitHub</x:v>
      </x:c>
      <x:c r="B33" s="14" t="n">
        <x:v>0.306367217528351</x:v>
      </x:c>
      <x:c r="C33" s="14" t="n">
        <x:v>-0.091732780507058</x:v>
      </x:c>
      <x:c r="D33" s="14" t="n">
        <x:v>-0.001684435159662</x:v>
      </x:c>
      <x:c r="E33" s="14" t="n">
        <x:f>SUM(B33:D33)</x:f>
        <x:v>0.212950001861631</x:v>
      </x:c>
      <x:c r="F33" s="2"/>
      <x:c r="G33" s="2"/>
      <x:c r="H33" s="2"/>
      <x:c r="I33" s="2"/>
    </x:row>
    <x:row r="34" ht="24" customHeight="1">
      <x:c r="A34" s="9" t="str">
        <x:v>StackExchange</x:v>
      </x:c>
      <x:c r="B34" s="15" t="n">
        <x:v>0.008493683572322</x:v>
      </x:c>
      <x:c r="C34" s="15" t="n">
        <x:v>0.129706339076213</x:v>
      </x:c>
      <x:c r="D34" s="15" t="n">
        <x:v>-0.002330775726227</x:v>
      </x:c>
      <x:c r="E34" s="14" t="n">
        <x:f>SUM(B34:D34)</x:f>
        <x:v>0.135869246922308</x:v>
      </x:c>
      <x:c r="F34" s="2"/>
      <x:c r="G34" s="2"/>
      <x:c r="H34" s="2"/>
      <x:c r="I34" s="2"/>
    </x:row>
    <x:row r="35" ht="24" customHeight="1">
      <x:c r="A35" s="10" t="str">
        <x:v>Wikipedia</x:v>
      </x:c>
      <x:c r="B35" s="16" t="n">
        <x:v>0.008792098923564</x:v>
      </x:c>
      <x:c r="C35" s="16" t="n">
        <x:v>0.143708709413532</x:v>
      </x:c>
      <x:c r="D35" s="16" t="n">
        <x:v>0.000914608451884</x:v>
      </x:c>
      <x:c r="E35" s="14" t="n">
        <x:f>SUM(B35:D35)</x:f>
        <x:v>0.15341541678898002</x:v>
      </x:c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0" t="str">
        <x:v>QuRating映射敏感性：主方法与保持全领域正向的对照</x:v>
      </x:c>
      <x:c r="B38" s="2"/>
      <x:c r="C38" s="2"/>
      <x:c r="D38" s="2"/>
      <x:c r="E38" s="2"/>
      <x:c r="F38" s="2"/>
      <x:c r="G38" s="2"/>
      <x:c r="H38" s="2"/>
      <x:c r="I38" s="2"/>
    </x:row>
    <x:row r="39" ht="38" customHeight="1">
      <x:c r="A39" s="8" t="str">
        <x:v>领域</x:v>
      </x:c>
      <x:c r="B39" s="8" t="str">
        <x:v>主方法Q</x:v>
      </x:c>
      <x:c r="C39" s="8" t="str">
        <x:v>QuRating全P</x:v>
      </x:c>
      <x:c r="D39" s="8" t="str">
        <x:v>ΔQ</x:v>
      </x:c>
      <x:c r="E39" s="2"/>
      <x:c r="F39" s="2"/>
      <x:c r="G39" s="2"/>
      <x:c r="H39" s="2"/>
      <x:c r="I39" s="2"/>
    </x:row>
    <x:row r="40" ht="24" customHeight="1">
      <x:c r="A40" s="2" t="str">
        <x:v>ArXiv</x:v>
      </x:c>
      <x:c r="B40" s="14" t="n">
        <x:v>0.463394706891632</x:v>
      </x:c>
      <x:c r="C40" s="14" t="n">
        <x:v>0.480475753886459</x:v>
      </x:c>
      <x:c r="D40" s="14" t="n">
        <x:f>C40-B40</x:f>
        <x:v>0.017081046994827043</x:v>
      </x:c>
      <x:c r="E40" s="2"/>
      <x:c r="F40" s="2"/>
      <x:c r="G40" s="2"/>
      <x:c r="H40" s="2"/>
      <x:c r="I40" s="2"/>
    </x:row>
    <x:row r="41" ht="24" customHeight="1">
      <x:c r="A41" s="9" t="str">
        <x:v>Book</x:v>
      </x:c>
      <x:c r="B41" s="15" t="n">
        <x:v>0.583161410942737</x:v>
      </x:c>
      <x:c r="C41" s="15" t="n">
        <x:v>0.57813027668563</x:v>
      </x:c>
      <x:c r="D41" s="14" t="n">
        <x:f>C41-B41</x:f>
        <x:v>-0.005031134257106995</x:v>
      </x:c>
      <x:c r="E41" s="2"/>
      <x:c r="F41" s="2"/>
      <x:c r="G41" s="2"/>
      <x:c r="H41" s="2"/>
      <x:c r="I41" s="2"/>
    </x:row>
    <x:row r="42" ht="24" customHeight="1">
      <x:c r="A42" s="2" t="str">
        <x:v>C4</x:v>
      </x:c>
      <x:c r="B42" s="14" t="n">
        <x:v>0.482359102622337</x:v>
      </x:c>
      <x:c r="C42" s="14" t="n">
        <x:v>0.478877340181581</x:v>
      </x:c>
      <x:c r="D42" s="14" t="n">
        <x:f>C42-B42</x:f>
        <x:v>-0.0034817624407559866</x:v>
      </x:c>
      <x:c r="E42" s="2"/>
      <x:c r="F42" s="2"/>
      <x:c r="G42" s="2"/>
      <x:c r="H42" s="2"/>
      <x:c r="I42" s="2"/>
    </x:row>
    <x:row r="43" ht="24" customHeight="1">
      <x:c r="A43" s="9" t="str">
        <x:v>CommonCrawl</x:v>
      </x:c>
      <x:c r="B43" s="15" t="n">
        <x:v>0.4994861252595</x:v>
      </x:c>
      <x:c r="C43" s="15" t="n">
        <x:v>0.498452245063323</x:v>
      </x:c>
      <x:c r="D43" s="14" t="n">
        <x:f>C43-B43</x:f>
        <x:v>-0.001033880196177006</x:v>
      </x:c>
      <x:c r="E43" s="2"/>
      <x:c r="F43" s="2"/>
      <x:c r="G43" s="2"/>
      <x:c r="H43" s="2"/>
      <x:c r="I43" s="2"/>
    </x:row>
    <x:row r="44" ht="24" customHeight="1">
      <x:c r="A44" s="2" t="str">
        <x:v>GitHub</x:v>
      </x:c>
      <x:c r="B44" s="14" t="n">
        <x:v>0.598841020991859</x:v>
      </x:c>
      <x:c r="C44" s="14" t="n">
        <x:v>0.585027540653081</x:v>
      </x:c>
      <x:c r="D44" s="14" t="n">
        <x:f>C44-B44</x:f>
        <x:v>-0.01381348033877794</x:v>
      </x:c>
      <x:c r="E44" s="2"/>
      <x:c r="F44" s="2"/>
      <x:c r="G44" s="2"/>
      <x:c r="H44" s="2"/>
      <x:c r="I44" s="2"/>
    </x:row>
    <x:row r="45" ht="24" customHeight="1">
      <x:c r="A45" s="9" t="str">
        <x:v>StackExchange</x:v>
      </x:c>
      <x:c r="B45" s="15" t="n">
        <x:v>0.474895612122134</x:v>
      </x:c>
      <x:c r="C45" s="15" t="n">
        <x:v>0.472910437581704</x:v>
      </x:c>
      <x:c r="D45" s="14" t="n">
        <x:f>C45-B45</x:f>
        <x:v>-0.0019851745404300125</x:v>
      </x:c>
      <x:c r="E45" s="2"/>
      <x:c r="F45" s="2"/>
      <x:c r="G45" s="2"/>
      <x:c r="H45" s="2"/>
      <x:c r="I45" s="2"/>
    </x:row>
    <x:row r="46" ht="24" customHeight="1">
      <x:c r="A46" s="10" t="str">
        <x:v>Wikipedia</x:v>
      </x:c>
      <x:c r="B46" s="16" t="n">
        <x:v>0.517927819269811</x:v>
      </x:c>
      <x:c r="C46" s="16" t="n">
        <x:v>0.508305016324782</x:v>
      </x:c>
      <x:c r="D46" s="14" t="n">
        <x:f>C46-B46</x:f>
        <x:v>-0.009622802945029041</x:v>
      </x:c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9" ht="24" customHeight="1">
      <x:c r="A49" s="30" t="str">
        <x:v>0表示归一化后的中性0.5。全量统一归一化与赋权，仅方向按领域改变。</x:v>
      </x:c>
      <x:c r="B49" s="30"/>
      <x:c r="C49" s="30"/>
      <x:c r="D49" s="30"/>
      <x:c r="E49" s="30"/>
      <x:c r="F49" s="30"/>
      <x:c r="G49" s="30"/>
      <x:c r="H49" s="30"/>
      <x:c r="I49" s="30"/>
    </x:row>
    <x:row r="50" ht="24" customHeight="1">
      <x:c r="A50" s="30" t="str">
        <x:v>分解顺序会影响各项贡献。分数升高不能证明训练收益提高。</x:v>
      </x:c>
      <x:c r="B50" s="30"/>
      <x:c r="C50" s="30"/>
      <x:c r="D50" s="30"/>
      <x:c r="E50" s="30"/>
      <x:c r="F50" s="30"/>
      <x:c r="G50" s="30"/>
      <x:c r="H50" s="30"/>
      <x:c r="I50" s="30"/>
    </x:row>
    <x:row r="51" ht="24" customHeight="1">
      <x:c r="A51" s="30" t="str">
        <x:v>结果为Python实验输出；重新计算质量与权重须运行实验脚本，Excel仅计算对照差值。</x:v>
      </x:c>
      <x:c r="B51" s="30"/>
      <x:c r="C51" s="30"/>
      <x:c r="D51" s="30"/>
      <x:c r="E51" s="30"/>
      <x:c r="F51" s="30"/>
      <x:c r="G51" s="30"/>
      <x:c r="H51" s="30"/>
      <x:c r="I51" s="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3" hidden="0" customWidth="1"/>
    <x:col min="2" max="2" width="3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现有22项指标的方向映射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2" t="str">
        <x:v>P：正向u；N：负向1-u；0：中性0.5。列表指标仍按原流程取均值。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8" customHeight="1">
      <x:c r="A5" s="8" t="str">
        <x:v>现有字段</x:v>
      </x:c>
      <x:c r="B5" s="8" t="str">
        <x:v>指标</x:v>
      </x:c>
      <x:c r="C5" s="8" t="str">
        <x:v>原方向</x:v>
      </x:c>
      <x:c r="D5" s="8" t="str">
        <x:v>图片行号</x:v>
      </x:c>
      <x:c r="E5" s="8" t="str">
        <x:v>ArXiv</x:v>
      </x:c>
      <x:c r="F5" s="8" t="str">
        <x:v>Book</x:v>
      </x:c>
      <x:c r="G5" s="8" t="str">
        <x:v>C4</x:v>
      </x:c>
      <x:c r="H5" s="8" t="str">
        <x:v>CommonCrawl</x:v>
      </x:c>
      <x:c r="I5" s="8" t="str">
        <x:v>GitHub</x:v>
      </x:c>
      <x:c r="J5" s="8" t="str">
        <x:v>StackExchange</x:v>
      </x:c>
      <x:c r="K5" s="8" t="str">
        <x:v>Wikipedia</x:v>
      </x:c>
    </x:row>
    <x:row r="6" ht="24" customHeight="1">
      <x:c r="A6" s="2" t="str">
        <x:v>dsir_books</x:v>
      </x:c>
      <x:c r="B6" s="2" t="str">
        <x:v>书籍语料分布相似度</x:v>
      </x:c>
      <x:c r="C6" s="31" t="str">
        <x:v>P</x:v>
      </x:c>
      <x:c r="D6" s="31" t="str">
        <x:v>12</x:v>
      </x:c>
      <x:c r="E6" s="31" t="str">
        <x:v>P</x:v>
      </x:c>
      <x:c r="F6" s="31" t="str">
        <x:v>P</x:v>
      </x:c>
      <x:c r="G6" s="31" t="str">
        <x:v>N</x:v>
      </x:c>
      <x:c r="H6" s="31" t="str">
        <x:v>N</x:v>
      </x:c>
      <x:c r="I6" s="31" t="str">
        <x:v>0</x:v>
      </x:c>
      <x:c r="J6" s="31" t="str">
        <x:v>P</x:v>
      </x:c>
      <x:c r="K6" s="31" t="str">
        <x:v>P</x:v>
      </x:c>
    </x:row>
    <x:row r="7" ht="24" customHeight="1">
      <x:c r="A7" s="9" t="str">
        <x:v>dsir_wiki</x:v>
      </x:c>
      <x:c r="B7" s="9" t="str">
        <x:v>Wiki语料分布相似度</x:v>
      </x:c>
      <x:c r="C7" s="32" t="str">
        <x:v>P</x:v>
      </x:c>
      <x:c r="D7" s="32" t="str">
        <x:v>13</x:v>
      </x:c>
      <x:c r="E7" s="32" t="str">
        <x:v>P</x:v>
      </x:c>
      <x:c r="F7" s="32" t="str">
        <x:v>P</x:v>
      </x:c>
      <x:c r="G7" s="32" t="str">
        <x:v>N</x:v>
      </x:c>
      <x:c r="H7" s="32" t="str">
        <x:v>N</x:v>
      </x:c>
      <x:c r="I7" s="32" t="str">
        <x:v>0</x:v>
      </x:c>
      <x:c r="J7" s="32" t="str">
        <x:v>P</x:v>
      </x:c>
      <x:c r="K7" s="32" t="str">
        <x:v>P</x:v>
      </x:c>
    </x:row>
    <x:row r="8" ht="24" customHeight="1">
      <x:c r="A8" s="2" t="str">
        <x:v>dsir_math</x:v>
      </x:c>
      <x:c r="B8" s="2" t="str">
        <x:v>数学语料分布相似度</x:v>
      </x:c>
      <x:c r="C8" s="31" t="str">
        <x:v>P</x:v>
      </x:c>
      <x:c r="D8" s="31" t="str">
        <x:v>14</x:v>
      </x:c>
      <x:c r="E8" s="31" t="str">
        <x:v>P</x:v>
      </x:c>
      <x:c r="F8" s="31" t="str">
        <x:v>P</x:v>
      </x:c>
      <x:c r="G8" s="31" t="str">
        <x:v>N</x:v>
      </x:c>
      <x:c r="H8" s="31" t="str">
        <x:v>N</x:v>
      </x:c>
      <x:c r="I8" s="31" t="str">
        <x:v>0</x:v>
      </x:c>
      <x:c r="J8" s="31" t="str">
        <x:v>P</x:v>
      </x:c>
      <x:c r="K8" s="31" t="str">
        <x:v>P</x:v>
      </x:c>
    </x:row>
    <x:row r="9" ht="24" customHeight="1">
      <x:c r="A9" s="9" t="str">
        <x:v>rps_doc_word_count</x:v>
      </x:c>
      <x:c r="B9" s="9" t="str">
        <x:v>文档词数</x:v>
      </x:c>
      <x:c r="C9" s="32" t="str">
        <x:v>P</x:v>
      </x:c>
      <x:c r="D9" s="32" t="str">
        <x:v>9</x:v>
      </x:c>
      <x:c r="E9" s="32" t="str">
        <x:v>P</x:v>
      </x:c>
      <x:c r="F9" s="32" t="str">
        <x:v>P</x:v>
      </x:c>
      <x:c r="G9" s="32" t="str">
        <x:v>0</x:v>
      </x:c>
      <x:c r="H9" s="32" t="str">
        <x:v>0</x:v>
      </x:c>
      <x:c r="I9" s="32" t="str">
        <x:v>N</x:v>
      </x:c>
      <x:c r="J9" s="32" t="str">
        <x:v>P</x:v>
      </x:c>
      <x:c r="K9" s="32" t="str">
        <x:v>P</x:v>
      </x:c>
    </x:row>
    <x:row r="10" ht="24" customHeight="1">
      <x:c r="A10" s="2" t="str">
        <x:v>rps_doc_num_sentences</x:v>
      </x:c>
      <x:c r="B10" s="2" t="str">
        <x:v>文档句子数</x:v>
      </x:c>
      <x:c r="C10" s="31" t="str">
        <x:v>P</x:v>
      </x:c>
      <x:c r="D10" s="31" t="str">
        <x:v>1</x:v>
      </x:c>
      <x:c r="E10" s="31" t="str">
        <x:v>P</x:v>
      </x:c>
      <x:c r="F10" s="31" t="str">
        <x:v>P</x:v>
      </x:c>
      <x:c r="G10" s="31" t="str">
        <x:v>0</x:v>
      </x:c>
      <x:c r="H10" s="31" t="str">
        <x:v>0</x:v>
      </x:c>
      <x:c r="I10" s="31" t="str">
        <x:v>N</x:v>
      </x:c>
      <x:c r="J10" s="31" t="str">
        <x:v>P</x:v>
      </x:c>
      <x:c r="K10" s="31" t="str">
        <x:v>P</x:v>
      </x:c>
    </x:row>
    <x:row r="11" ht="24" customHeight="1">
      <x:c r="A11" s="9" t="str">
        <x:v>rps_doc_unigram_entropy</x:v>
      </x:c>
      <x:c r="B11" s="9" t="str">
        <x:v>词频信息熵</x:v>
      </x:c>
      <x:c r="C11" s="32" t="str">
        <x:v>P</x:v>
      </x:c>
      <x:c r="D11" s="32" t="str">
        <x:v>7</x:v>
      </x:c>
      <x:c r="E11" s="32" t="str">
        <x:v>P</x:v>
      </x:c>
      <x:c r="F11" s="32" t="str">
        <x:v>P</x:v>
      </x:c>
      <x:c r="G11" s="32" t="str">
        <x:v>P</x:v>
      </x:c>
      <x:c r="H11" s="32" t="str">
        <x:v>P</x:v>
      </x:c>
      <x:c r="I11" s="32" t="str">
        <x:v>P</x:v>
      </x:c>
      <x:c r="J11" s="32" t="str">
        <x:v>P</x:v>
      </x:c>
      <x:c r="K11" s="32" t="str">
        <x:v>P</x:v>
      </x:c>
    </x:row>
    <x:row r="12" ht="24" customHeight="1">
      <x:c r="A12" s="2" t="str">
        <x:v>rps_doc_frac_unique_words</x:v>
      </x:c>
      <x:c r="B12" s="2" t="str">
        <x:v>不同单词占比</x:v>
      </x:c>
      <x:c r="C12" s="31" t="str">
        <x:v>P</x:v>
      </x:c>
      <x:c r="D12" s="31" t="str">
        <x:v>6</x:v>
      </x:c>
      <x:c r="E12" s="31" t="str">
        <x:v>P</x:v>
      </x:c>
      <x:c r="F12" s="31" t="str">
        <x:v>P</x:v>
      </x:c>
      <x:c r="G12" s="31" t="str">
        <x:v>P</x:v>
      </x:c>
      <x:c r="H12" s="31" t="str">
        <x:v>P</x:v>
      </x:c>
      <x:c r="I12" s="31" t="str">
        <x:v>P</x:v>
      </x:c>
      <x:c r="J12" s="31" t="str">
        <x:v>P</x:v>
      </x:c>
      <x:c r="K12" s="31" t="str">
        <x:v>P</x:v>
      </x:c>
    </x:row>
    <x:row r="13" ht="24" customHeight="1">
      <x:c r="A13" s="9" t="str">
        <x:v>rps_doc_frac_no_alph_words</x:v>
      </x:c>
      <x:c r="B13" s="9" t="str">
        <x:v>无字母单词占比</x:v>
      </x:c>
      <x:c r="C13" s="32" t="str">
        <x:v>N</x:v>
      </x:c>
      <x:c r="D13" s="32" t="str">
        <x:v>8</x:v>
      </x:c>
      <x:c r="E13" s="32" t="str">
        <x:v>0</x:v>
      </x:c>
      <x:c r="F13" s="32" t="str">
        <x:v>N</x:v>
      </x:c>
      <x:c r="G13" s="32" t="str">
        <x:v>N</x:v>
      </x:c>
      <x:c r="H13" s="32" t="str">
        <x:v>N</x:v>
      </x:c>
      <x:c r="I13" s="32" t="str">
        <x:v>P</x:v>
      </x:c>
      <x:c r="J13" s="32" t="str">
        <x:v>0</x:v>
      </x:c>
      <x:c r="K13" s="32" t="str">
        <x:v>N</x:v>
      </x:c>
    </x:row>
    <x:row r="14" ht="24" customHeight="1">
      <x:c r="A14" s="2" t="str">
        <x:v>rps_doc_frac_chars_top_2gram</x:v>
      </x:c>
      <x:c r="B14" s="2" t="str">
        <x:v>最频繁二元组覆盖字符比</x:v>
      </x:c>
      <x:c r="C14" s="31" t="str">
        <x:v>N</x:v>
      </x:c>
      <x:c r="D14" s="31" t="str">
        <x:v>10</x:v>
      </x:c>
      <x:c r="E14" s="31" t="str">
        <x:v>N</x:v>
      </x:c>
      <x:c r="F14" s="31" t="str">
        <x:v>N</x:v>
      </x:c>
      <x:c r="G14" s="31" t="str">
        <x:v>N</x:v>
      </x:c>
      <x:c r="H14" s="31" t="str">
        <x:v>N</x:v>
      </x:c>
      <x:c r="I14" s="31" t="str">
        <x:v>N</x:v>
      </x:c>
      <x:c r="J14" s="31" t="str">
        <x:v>N</x:v>
      </x:c>
      <x:c r="K14" s="31" t="str">
        <x:v>N</x:v>
      </x:c>
    </x:row>
    <x:row r="15" ht="24" customHeight="1">
      <x:c r="A15" s="9" t="str">
        <x:v>rps_doc_frac_chars_top_3gram</x:v>
      </x:c>
      <x:c r="B15" s="9" t="str">
        <x:v>最频繁三元组覆盖字符比</x:v>
      </x:c>
      <x:c r="C15" s="32" t="str">
        <x:v>N</x:v>
      </x:c>
      <x:c r="D15" s="32" t="str">
        <x:v>11</x:v>
      </x:c>
      <x:c r="E15" s="32" t="str">
        <x:v>N</x:v>
      </x:c>
      <x:c r="F15" s="32" t="str">
        <x:v>N</x:v>
      </x:c>
      <x:c r="G15" s="32" t="str">
        <x:v>N</x:v>
      </x:c>
      <x:c r="H15" s="32" t="str">
        <x:v>N</x:v>
      </x:c>
      <x:c r="I15" s="32" t="str">
        <x:v>N</x:v>
      </x:c>
      <x:c r="J15" s="32" t="str">
        <x:v>N</x:v>
      </x:c>
      <x:c r="K15" s="32" t="str">
        <x:v>N</x:v>
      </x:c>
    </x:row>
    <x:row r="16" ht="24" customHeight="1">
      <x:c r="A16" s="2" t="str">
        <x:v>rps_lines_uppercase_letter_fraction</x:v>
      </x:c>
      <x:c r="B16" s="2" t="str">
        <x:v>大写字母占比</x:v>
      </x:c>
      <x:c r="C16" s="31" t="str">
        <x:v>N</x:v>
      </x:c>
      <x:c r="D16" s="31" t="str">
        <x:v>4</x:v>
      </x:c>
      <x:c r="E16" s="31" t="str">
        <x:v>0</x:v>
      </x:c>
      <x:c r="F16" s="31" t="str">
        <x:v>N</x:v>
      </x:c>
      <x:c r="G16" s="31" t="str">
        <x:v>N</x:v>
      </x:c>
      <x:c r="H16" s="31" t="str">
        <x:v>N</x:v>
      </x:c>
      <x:c r="I16" s="31" t="str">
        <x:v>N</x:v>
      </x:c>
      <x:c r="J16" s="31" t="str">
        <x:v>N</x:v>
      </x:c>
      <x:c r="K16" s="31" t="str">
        <x:v>N</x:v>
      </x:c>
    </x:row>
    <x:row r="17" ht="24" customHeight="1">
      <x:c r="A17" s="9" t="str">
        <x:v>rps_lines_ending_with_terminal_punctution_mark</x:v>
      </x:c>
      <x:c r="B17" s="9" t="str">
        <x:v>正常标点结尾行比例</x:v>
      </x:c>
      <x:c r="C17" s="32" t="str">
        <x:v>P</x:v>
      </x:c>
      <x:c r="D17" s="32" t="str">
        <x:v>3</x:v>
      </x:c>
      <x:c r="E17" s="32" t="str">
        <x:v>P</x:v>
      </x:c>
      <x:c r="F17" s="32" t="str">
        <x:v>P</x:v>
      </x:c>
      <x:c r="G17" s="32" t="str">
        <x:v>0</x:v>
      </x:c>
      <x:c r="H17" s="32" t="str">
        <x:v>0</x:v>
      </x:c>
      <x:c r="I17" s="32" t="str">
        <x:v>N</x:v>
      </x:c>
      <x:c r="J17" s="32" t="str">
        <x:v>P</x:v>
      </x:c>
      <x:c r="K17" s="32" t="str">
        <x:v>P</x:v>
      </x:c>
    </x:row>
    <x:row r="18" ht="24" customHeight="1">
      <x:c r="A18" s="2" t="str">
        <x:v>rps_lines_numerical_chars_fraction</x:v>
      </x:c>
      <x:c r="B18" s="2" t="str">
        <x:v>数字字符占比</x:v>
      </x:c>
      <x:c r="C18" s="31" t="str">
        <x:v>N</x:v>
      </x:c>
      <x:c r="D18" s="31" t="str">
        <x:v>5</x:v>
      </x:c>
      <x:c r="E18" s="31" t="str">
        <x:v>P</x:v>
      </x:c>
      <x:c r="F18" s="31" t="str">
        <x:v>0</x:v>
      </x:c>
      <x:c r="G18" s="31" t="str">
        <x:v>N</x:v>
      </x:c>
      <x:c r="H18" s="31" t="str">
        <x:v>N</x:v>
      </x:c>
      <x:c r="I18" s="31" t="str">
        <x:v>0</x:v>
      </x:c>
      <x:c r="J18" s="31" t="str">
        <x:v>P</x:v>
      </x:c>
      <x:c r="K18" s="31" t="str">
        <x:v>0</x:v>
      </x:c>
    </x:row>
    <x:row r="19" ht="24" customHeight="1">
      <x:c r="A19" s="9" t="str">
        <x:v>rps_doc_mean_word_length</x:v>
      </x:c>
      <x:c r="B19" s="9" t="str">
        <x:v>单词平均字符长度</x:v>
      </x:c>
      <x:c r="C19" s="32" t="str">
        <x:v>P</x:v>
      </x:c>
      <x:c r="D19" s="32" t="str">
        <x:v>2</x:v>
      </x:c>
      <x:c r="E19" s="32" t="str">
        <x:v>P</x:v>
      </x:c>
      <x:c r="F19" s="32" t="str">
        <x:v>0</x:v>
      </x:c>
      <x:c r="G19" s="32" t="str">
        <x:v>0</x:v>
      </x:c>
      <x:c r="H19" s="32" t="str">
        <x:v>0</x:v>
      </x:c>
      <x:c r="I19" s="32" t="str">
        <x:v>N</x:v>
      </x:c>
      <x:c r="J19" s="32" t="str">
        <x:v>0</x:v>
      </x:c>
      <x:c r="K19" s="32" t="str">
        <x:v>0</x:v>
      </x:c>
    </x:row>
    <x:row r="20" ht="24" customHeight="1">
      <x:c r="A20" s="2" t="str">
        <x:v>fineweb_edu</x:v>
      </x:c>
      <x:c r="B20" s="2" t="str">
        <x:v>FineWeb教育价值</x:v>
      </x:c>
      <x:c r="C20" s="31" t="str">
        <x:v>P</x:v>
      </x:c>
      <x:c r="D20" s="31" t="str">
        <x:v>17</x:v>
      </x:c>
      <x:c r="E20" s="31" t="str">
        <x:v>P</x:v>
      </x:c>
      <x:c r="F20" s="31" t="str">
        <x:v>P</x:v>
      </x:c>
      <x:c r="G20" s="31" t="str">
        <x:v>N</x:v>
      </x:c>
      <x:c r="H20" s="31" t="str">
        <x:v>N</x:v>
      </x:c>
      <x:c r="I20" s="31" t="str">
        <x:v>0</x:v>
      </x:c>
      <x:c r="J20" s="31" t="str">
        <x:v>P</x:v>
      </x:c>
      <x:c r="K20" s="31" t="str">
        <x:v>P</x:v>
      </x:c>
    </x:row>
    <x:row r="21" ht="24" customHeight="1">
      <x:c r="A21" s="9" t="str">
        <x:v>fluency_en</x:v>
      </x:c>
      <x:c r="B21" s="9" t="str">
        <x:v>流畅度</x:v>
      </x:c>
      <x:c r="C21" s="32" t="str">
        <x:v>P</x:v>
      </x:c>
      <x:c r="D21" s="32" t="str">
        <x:v>16</x:v>
      </x:c>
      <x:c r="E21" s="32" t="str">
        <x:v>P</x:v>
      </x:c>
      <x:c r="F21" s="32" t="str">
        <x:v>P</x:v>
      </x:c>
      <x:c r="G21" s="32" t="str">
        <x:v>P</x:v>
      </x:c>
      <x:c r="H21" s="32" t="str">
        <x:v>P</x:v>
      </x:c>
      <x:c r="I21" s="32" t="str">
        <x:v>P</x:v>
      </x:c>
      <x:c r="J21" s="32" t="str">
        <x:v>P</x:v>
      </x:c>
      <x:c r="K21" s="32" t="str">
        <x:v>P</x:v>
      </x:c>
    </x:row>
    <x:row r="22" ht="24" customHeight="1">
      <x:c r="A22" s="2" t="str">
        <x:v>modernbert_cleanliness</x:v>
      </x:c>
      <x:c r="B22" s="2" t="str">
        <x:v>ModernBERT整洁性</x:v>
      </x:c>
      <x:c r="C22" s="31" t="str">
        <x:v>P</x:v>
      </x:c>
      <x:c r="D22" s="31" t="str">
        <x:v>25</x:v>
      </x:c>
      <x:c r="E22" s="31" t="str">
        <x:v>P</x:v>
      </x:c>
      <x:c r="F22" s="31" t="str">
        <x:v>P</x:v>
      </x:c>
      <x:c r="G22" s="31" t="str">
        <x:v>P</x:v>
      </x:c>
      <x:c r="H22" s="31" t="str">
        <x:v>P</x:v>
      </x:c>
      <x:c r="I22" s="31" t="str">
        <x:v>P</x:v>
      </x:c>
      <x:c r="J22" s="31" t="str">
        <x:v>P</x:v>
      </x:c>
      <x:c r="K22" s="31" t="str">
        <x:v>P</x:v>
      </x:c>
    </x:row>
    <x:row r="23" ht="24" customHeight="1">
      <x:c r="A23" s="9" t="str">
        <x:v>modernbert_readability</x:v>
      </x:c>
      <x:c r="B23" s="9" t="str">
        <x:v>ModernBERT可读性</x:v>
      </x:c>
      <x:c r="C23" s="32" t="str">
        <x:v>P</x:v>
      </x:c>
      <x:c r="D23" s="32" t="str">
        <x:v>23</x:v>
      </x:c>
      <x:c r="E23" s="32" t="str">
        <x:v>P</x:v>
      </x:c>
      <x:c r="F23" s="32" t="str">
        <x:v>P</x:v>
      </x:c>
      <x:c r="G23" s="32" t="str">
        <x:v>P</x:v>
      </x:c>
      <x:c r="H23" s="32" t="str">
        <x:v>P</x:v>
      </x:c>
      <x:c r="I23" s="32" t="str">
        <x:v>0</x:v>
      </x:c>
      <x:c r="J23" s="32" t="str">
        <x:v>P</x:v>
      </x:c>
      <x:c r="K23" s="32" t="str">
        <x:v>P</x:v>
      </x:c>
    </x:row>
    <x:row r="24" ht="24" customHeight="1">
      <x:c r="A24" s="2" t="str">
        <x:v>modernbert_reasoning</x:v>
      </x:c>
      <x:c r="B24" s="2" t="str">
        <x:v>ModernBERT推理复杂度</x:v>
      </x:c>
      <x:c r="C24" s="31" t="str">
        <x:v>P</x:v>
      </x:c>
      <x:c r="D24" s="31" t="str">
        <x:v>24</x:v>
      </x:c>
      <x:c r="E24" s="31" t="str">
        <x:v>P</x:v>
      </x:c>
      <x:c r="F24" s="31" t="str">
        <x:v>0</x:v>
      </x:c>
      <x:c r="G24" s="31" t="str">
        <x:v>N</x:v>
      </x:c>
      <x:c r="H24" s="31" t="str">
        <x:v>N</x:v>
      </x:c>
      <x:c r="I24" s="31" t="str">
        <x:v>P</x:v>
      </x:c>
      <x:c r="J24" s="31" t="str">
        <x:v>P</x:v>
      </x:c>
      <x:c r="K24" s="31" t="str">
        <x:v>0</x:v>
      </x:c>
    </x:row>
    <x:row r="25" ht="24" customHeight="1">
      <x:c r="A25" s="9" t="str">
        <x:v>modernbert_professionalism</x:v>
      </x:c>
      <x:c r="B25" s="9" t="str">
        <x:v>ModernBERT专业性</x:v>
      </x:c>
      <x:c r="C25" s="32" t="str">
        <x:v>P</x:v>
      </x:c>
      <x:c r="D25" s="32" t="str">
        <x:v>22</x:v>
      </x:c>
      <x:c r="E25" s="32" t="str">
        <x:v>P</x:v>
      </x:c>
      <x:c r="F25" s="32" t="str">
        <x:v>0</x:v>
      </x:c>
      <x:c r="G25" s="32" t="str">
        <x:v>N</x:v>
      </x:c>
      <x:c r="H25" s="32" t="str">
        <x:v>N</x:v>
      </x:c>
      <x:c r="I25" s="32" t="str">
        <x:v>P</x:v>
      </x:c>
      <x:c r="J25" s="32" t="str">
        <x:v>P</x:v>
      </x:c>
      <x:c r="K25" s="32" t="str">
        <x:v>0</x:v>
      </x:c>
    </x:row>
    <x:row r="26" ht="24" customHeight="1">
      <x:c r="A26" s="2" t="str">
        <x:v>qurater</x:v>
      </x:c>
      <x:c r="B26" s="2" t="str">
        <x:v>QuRating列表均值</x:v>
      </x:c>
      <x:c r="C26" s="31" t="str">
        <x:v>P</x:v>
      </x:c>
      <x:c r="D26" s="31" t="str">
        <x:v>18-21</x:v>
      </x:c>
      <x:c r="E26" s="31" t="str">
        <x:v>P</x:v>
      </x:c>
      <x:c r="F26" s="31" t="str">
        <x:v>0</x:v>
      </x:c>
      <x:c r="G26" s="31" t="str">
        <x:v>0</x:v>
      </x:c>
      <x:c r="H26" s="31" t="str">
        <x:v>0</x:v>
      </x:c>
      <x:c r="I26" s="31" t="str">
        <x:v>0</x:v>
      </x:c>
      <x:c r="J26" s="31" t="str">
        <x:v>P</x:v>
      </x:c>
      <x:c r="K26" s="31" t="str">
        <x:v>0</x:v>
      </x:c>
    </x:row>
    <x:row r="27" ht="24" customHeight="1">
      <x:c r="A27" s="21" t="str">
        <x:v>ad_en</x:v>
      </x:c>
      <x:c r="B27" s="21" t="str">
        <x:v>广告检测列表均值</x:v>
      </x:c>
      <x:c r="C27" s="33" t="str">
        <x:v>N</x:v>
      </x:c>
      <x:c r="D27" s="33" t="str">
        <x:v>15</x:v>
      </x:c>
      <x:c r="E27" s="33" t="str">
        <x:v>N</x:v>
      </x:c>
      <x:c r="F27" s="33" t="str">
        <x:v>N</x:v>
      </x:c>
      <x:c r="G27" s="33" t="str">
        <x:v>P</x:v>
      </x:c>
      <x:c r="H27" s="33" t="str">
        <x:v>P</x:v>
      </x:c>
      <x:c r="I27" s="33" t="str">
        <x:v>N</x:v>
      </x:c>
      <x:c r="J27" s="33" t="str">
        <x:v>N</x:v>
      </x:c>
      <x:c r="K27" s="33" t="str">
        <x:v>N</x:v>
      </x:c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4" customHeight="1">
      <x:c r="A29" s="2" t="str">
        <x:v>QuRating四维未拆分；四行方向一致才转移，否则中性。另做全P敏感性。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4" customHeight="1">
      <x:c r="A30" s="2" t="str">
        <x:v>ad_en和fluency_en沿用列表均值，并不等同于图片的正类logit。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A32" s="2" t="str">
        <x:v>方向来源：用户附件方向表（25行），按现有字段映射为22列。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4" customHeight="1">
      <x:c r="A33" s="2" t="str">
        <x:v>原方向来源：p1_quality.py。输入：A1质量抽样、A2 ArXiv扩展、A3 GitHub扩展。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E6:K27">
    <x:cfRule type="cellIs" dxfId="0" priority="1" operator="equal">
      <x:formula>"P"</x:formula>
    </x:cfRule>
    <x:cfRule type="cellIs" dxfId="1" priority="2" operator="equal">
      <x:formula>"N"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熵权与CRITIC组合赋权对照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 t="str">
        <x:v>组合权重=0.5×熵权+0.5×CRITIC；三种方法均在合并样本上重新赋权。</x:v>
      </x:c>
      <x:c r="B4" s="2"/>
      <x:c r="C4" s="2"/>
      <x:c r="D4" s="2"/>
      <x:c r="E4" s="2"/>
      <x:c r="F4" s="2"/>
      <x:c r="G4" s="2"/>
      <x:c r="H4" s="2"/>
      <x:c r="I4" s="2"/>
    </x:row>
    <x:row r="5" ht="38" customHeight="1">
      <x:c r="A5" s="8" t="str">
        <x:v>指标</x:v>
      </x:c>
      <x:c r="B5" s="8" t="str">
        <x:v>原熵权</x:v>
      </x:c>
      <x:c r="C5" s="8" t="str">
        <x:v>原CRITIC</x:v>
      </x:c>
      <x:c r="D5" s="8" t="str">
        <x:v>原组合权重</x:v>
      </x:c>
      <x:c r="E5" s="8" t="str">
        <x:v>新熵权</x:v>
      </x:c>
      <x:c r="F5" s="8" t="str">
        <x:v>新CRITIC</x:v>
      </x:c>
      <x:c r="G5" s="8" t="str">
        <x:v>新组合权重</x:v>
      </x:c>
      <x:c r="H5" s="8" t="str">
        <x:v>Δ权重</x:v>
      </x:c>
      <x:c r="I5" s="8" t="str">
        <x:v>QuRating全P权重</x:v>
      </x:c>
    </x:row>
    <x:row r="6" ht="24" customHeight="1">
      <x:c r="A6" s="2" t="str">
        <x:v>书籍语料分布相似度</x:v>
      </x:c>
      <x:c r="B6" s="14" t="n">
        <x:v>0.004631275578836</x:v>
      </x:c>
      <x:c r="C6" s="14" t="n">
        <x:v>0.026243730332716</x:v>
      </x:c>
      <x:c r="D6" s="14" t="n">
        <x:v>0.015437502955776</x:v>
      </x:c>
      <x:c r="E6" s="14" t="n">
        <x:v>0.053488774522639</x:v>
      </x:c>
      <x:c r="F6" s="14" t="n">
        <x:v>0.043742794646037</x:v>
      </x:c>
      <x:c r="G6" s="14" t="n">
        <x:v>0.048615784584338</x:v>
      </x:c>
      <x:c r="H6" s="14" t="n">
        <x:f>G6-D6</x:f>
        <x:v>0.033178281628562</x:v>
      </x:c>
      <x:c r="I6" s="14" t="n">
        <x:v>0.046585414636058</x:v>
      </x:c>
    </x:row>
    <x:row r="7" ht="24" customHeight="1">
      <x:c r="A7" s="9" t="str">
        <x:v>Wiki语料分布相似度</x:v>
      </x:c>
      <x:c r="B7" s="15" t="n">
        <x:v>0.00461822183005</x:v>
      </x:c>
      <x:c r="C7" s="15" t="n">
        <x:v>0.026184282091218</x:v>
      </x:c>
      <x:c r="D7" s="15" t="n">
        <x:v>0.015401251960634</x:v>
      </x:c>
      <x:c r="E7" s="15" t="n">
        <x:v>0.053356862009047</x:v>
      </x:c>
      <x:c r="F7" s="15" t="n">
        <x:v>0.04366822997991</x:v>
      </x:c>
      <x:c r="G7" s="15" t="n">
        <x:v>0.048512545994479</x:v>
      </x:c>
      <x:c r="H7" s="14" t="n">
        <x:f>G7-D7</x:f>
        <x:v>0.033111294033845</x:v>
      </x:c>
      <x:c r="I7" s="15" t="n">
        <x:v>0.046490686095297</x:v>
      </x:c>
    </x:row>
    <x:row r="8" ht="24" customHeight="1">
      <x:c r="A8" s="2" t="str">
        <x:v>数学语料分布相似度</x:v>
      </x:c>
      <x:c r="B8" s="14" t="n">
        <x:v>0.004912381496857</x:v>
      </x:c>
      <x:c r="C8" s="14" t="n">
        <x:v>0.026920257757099</x:v>
      </x:c>
      <x:c r="D8" s="14" t="n">
        <x:v>0.015916319626978</x:v>
      </x:c>
      <x:c r="E8" s="14" t="n">
        <x:v>0.049379402851144</x:v>
      </x:c>
      <x:c r="F8" s="14" t="n">
        <x:v>0.042184316230501</x:v>
      </x:c>
      <x:c r="G8" s="14" t="n">
        <x:v>0.045781859540823</x:v>
      </x:c>
      <x:c r="H8" s="14" t="n">
        <x:f>G8-D8</x:f>
        <x:v>0.029865539913845</x:v>
      </x:c>
      <x:c r="I8" s="14" t="n">
        <x:v>0.043907998700289</x:v>
      </x:c>
    </x:row>
    <x:row r="9" ht="24" customHeight="1">
      <x:c r="A9" s="9" t="str">
        <x:v>文档词数</x:v>
      </x:c>
      <x:c r="B9" s="15" t="n">
        <x:v>0.313885170558398</x:v>
      </x:c>
      <x:c r="C9" s="15" t="n">
        <x:v>0.027688303528132</x:v>
      </x:c>
      <x:c r="D9" s="15" t="n">
        <x:v>0.170786737043265</x:v>
      </x:c>
      <x:c r="E9" s="15" t="n">
        <x:v>0.052091834256109</x:v>
      </x:c>
      <x:c r="F9" s="15" t="n">
        <x:v>0.055857421583484</x:v>
      </x:c>
      <x:c r="G9" s="15" t="n">
        <x:v>0.053974627919796</x:v>
      </x:c>
      <x:c r="H9" s="14" t="n">
        <x:f>G9-D9</x:f>
        <x:v>-0.116812109123469</x:v>
      </x:c>
      <x:c r="I9" s="15" t="n">
        <x:v>0.051514840197421</x:v>
      </x:c>
    </x:row>
    <x:row r="10" ht="24" customHeight="1">
      <x:c r="A10" s="2" t="str">
        <x:v>文档句子数</x:v>
      </x:c>
      <x:c r="B10" s="14" t="n">
        <x:v>0.238062384250202</x:v>
      </x:c>
      <x:c r="C10" s="14" t="n">
        <x:v>0.030764019266634</x:v>
      </x:c>
      <x:c r="D10" s="14" t="n">
        <x:v>0.134413201758418</x:v>
      </x:c>
      <x:c r="E10" s="14" t="n">
        <x:v>0.059383474214706</x:v>
      </x:c>
      <x:c r="F10" s="14" t="n">
        <x:v>0.059076665112578</x:v>
      </x:c>
      <x:c r="G10" s="14" t="n">
        <x:v>0.059230069663642</x:v>
      </x:c>
      <x:c r="H10" s="14" t="n">
        <x:f>G10-D10</x:f>
        <x:v>-0.075183132094776</x:v>
      </x:c>
      <x:c r="I10" s="14" t="n">
        <x:v>0.056606250432975</x:v>
      </x:c>
    </x:row>
    <x:row r="11" ht="24" customHeight="1">
      <x:c r="A11" s="9" t="str">
        <x:v>词频信息熵</x:v>
      </x:c>
      <x:c r="B11" s="15" t="n">
        <x:v>0.01970563733062</x:v>
      </x:c>
      <x:c r="C11" s="15" t="n">
        <x:v>0.038357796575931</x:v>
      </x:c>
      <x:c r="D11" s="15" t="n">
        <x:v>0.029031716953275</x:v>
      </x:c>
      <x:c r="E11" s="15" t="n">
        <x:v>0.047305969594714</x:v>
      </x:c>
      <x:c r="F11" s="15" t="n">
        <x:v>0.043378385286878</x:v>
      </x:c>
      <x:c r="G11" s="15" t="n">
        <x:v>0.045342177440796</x:v>
      </x:c>
      <x:c r="H11" s="14" t="n">
        <x:f>G11-D11</x:f>
        <x:v>0.016310460487521</x:v>
      </x:c>
      <x:c r="I11" s="15" t="n">
        <x:v>0.043399650408154</x:v>
      </x:c>
    </x:row>
    <x:row r="12" ht="24" customHeight="1">
      <x:c r="A12" s="2" t="str">
        <x:v>不同单词占比</x:v>
      </x:c>
      <x:c r="B12" s="14" t="n">
        <x:v>0.030571372859965</x:v>
      </x:c>
      <x:c r="C12" s="14" t="n">
        <x:v>0.044600600996614</x:v>
      </x:c>
      <x:c r="D12" s="14" t="n">
        <x:v>0.03758598692829</x:v>
      </x:c>
      <x:c r="E12" s="14" t="n">
        <x:v>0.073390594313273</x:v>
      </x:c>
      <x:c r="F12" s="14" t="n">
        <x:v>0.050662516904157</x:v>
      </x:c>
      <x:c r="G12" s="14" t="n">
        <x:v>0.062026555608715</x:v>
      </x:c>
      <x:c r="H12" s="14" t="n">
        <x:f>G12-D12</x:f>
        <x:v>0.024440568680424997</x:v>
      </x:c>
      <x:c r="I12" s="14" t="n">
        <x:v>0.059316353647021</x:v>
      </x:c>
    </x:row>
    <x:row r="13" ht="24" customHeight="1">
      <x:c r="A13" s="9" t="str">
        <x:v>无字母单词占比</x:v>
      </x:c>
      <x:c r="B13" s="15" t="n">
        <x:v>0.016326300115214</x:v>
      </x:c>
      <x:c r="C13" s="15" t="n">
        <x:v>0.054561711578031</x:v>
      </x:c>
      <x:c r="D13" s="15" t="n">
        <x:v>0.035444005846622</x:v>
      </x:c>
      <x:c r="E13" s="15" t="n">
        <x:v>0.065853989090763</x:v>
      </x:c>
      <x:c r="F13" s="15" t="n">
        <x:v>0.051901888481181</x:v>
      </x:c>
      <x:c r="G13" s="15" t="n">
        <x:v>0.058877938785972</x:v>
      </x:c>
      <x:c r="H13" s="14" t="n">
        <x:f>G13-D13</x:f>
        <x:v>0.023433932939349998</x:v>
      </x:c>
      <x:c r="I13" s="15" t="n">
        <x:v>0.056395180147867</x:v>
      </x:c>
    </x:row>
    <x:row r="14" ht="24" customHeight="1">
      <x:c r="A14" s="2" t="str">
        <x:v>最频繁二元组覆盖字符比</x:v>
      </x:c>
      <x:c r="B14" s="14" t="n">
        <x:v>0.007370563983727</x:v>
      </x:c>
      <x:c r="C14" s="14" t="n">
        <x:v>0.051284936368744</x:v>
      </x:c>
      <x:c r="D14" s="14" t="n">
        <x:v>0.029327750176236</x:v>
      </x:c>
      <x:c r="E14" s="14" t="n">
        <x:v>0.017694006544464</x:v>
      </x:c>
      <x:c r="F14" s="14" t="n">
        <x:v>0.046655395043276</x:v>
      </x:c>
      <x:c r="G14" s="14" t="n">
        <x:v>0.03217470079387</x:v>
      </x:c>
      <x:c r="H14" s="14" t="n">
        <x:f>G14-D14</x:f>
        <x:v>0.002846950617633997</x:v>
      </x:c>
      <x:c r="I14" s="14" t="n">
        <x:v>0.031296724151508</x:v>
      </x:c>
    </x:row>
    <x:row r="15" ht="24" customHeight="1">
      <x:c r="A15" s="9" t="str">
        <x:v>最频繁三元组覆盖字符比</x:v>
      </x:c>
      <x:c r="B15" s="15" t="n">
        <x:v>0.006778443444925</x:v>
      </x:c>
      <x:c r="C15" s="15" t="n">
        <x:v>0.045788322917559</x:v>
      </x:c>
      <x:c r="D15" s="15" t="n">
        <x:v>0.026283383181242</x:v>
      </x:c>
      <x:c r="E15" s="15" t="n">
        <x:v>0.016272543440867</x:v>
      </x:c>
      <x:c r="F15" s="15" t="n">
        <x:v>0.044153264022511</x:v>
      </x:c>
      <x:c r="G15" s="15" t="n">
        <x:v>0.030212903731689</x:v>
      </x:c>
      <x:c r="H15" s="14" t="n">
        <x:f>G15-D15</x:f>
        <x:v>0.003929520550446999</x:v>
      </x:c>
      <x:c r="I15" s="15" t="n">
        <x:v>0.029369303226263</x:v>
      </x:c>
    </x:row>
    <x:row r="16" ht="24" customHeight="1">
      <x:c r="A16" s="2" t="str">
        <x:v>大写字母占比</x:v>
      </x:c>
      <x:c r="B16" s="14" t="n">
        <x:v>0.01798136739872</x:v>
      </x:c>
      <x:c r="C16" s="14" t="n">
        <x:v>0.055185824160076</x:v>
      </x:c>
      <x:c r="D16" s="14" t="n">
        <x:v>0.036583595779398</x:v>
      </x:c>
      <x:c r="E16" s="14" t="n">
        <x:v>0.042603941568216</x:v>
      </x:c>
      <x:c r="F16" s="14" t="n">
        <x:v>0.049716341859255</x:v>
      </x:c>
      <x:c r="G16" s="14" t="n">
        <x:v>0.046160141713735</x:v>
      </x:c>
      <x:c r="H16" s="14" t="n">
        <x:f>G16-D16</x:f>
        <x:v>0.009576545934337002</x:v>
      </x:c>
      <x:c r="I16" s="14" t="n">
        <x:v>0.044392497180067</x:v>
      </x:c>
    </x:row>
    <x:row r="17" ht="24" customHeight="1">
      <x:c r="A17" s="9" t="str">
        <x:v>正常标点结尾行比例</x:v>
      </x:c>
      <x:c r="B17" s="15" t="n">
        <x:v>0.050013414026156</x:v>
      </x:c>
      <x:c r="C17" s="15" t="n">
        <x:v>0.053770562930189</x:v>
      </x:c>
      <x:c r="D17" s="15" t="n">
        <x:v>0.051891988478173</x:v>
      </x:c>
      <x:c r="E17" s="15" t="n">
        <x:v>0.024981842025001</x:v>
      </x:c>
      <x:c r="F17" s="15" t="n">
        <x:v>0.044900549310397</x:v>
      </x:c>
      <x:c r="G17" s="15" t="n">
        <x:v>0.034941195667699</x:v>
      </x:c>
      <x:c r="H17" s="14" t="n">
        <x:f>G17-D17</x:f>
        <x:v>-0.016950792810474</x:v>
      </x:c>
      <x:c r="I17" s="15" t="n">
        <x:v>0.033641127358813</x:v>
      </x:c>
    </x:row>
    <x:row r="18" ht="24" customHeight="1">
      <x:c r="A18" s="2" t="str">
        <x:v>数字字符占比</x:v>
      </x:c>
      <x:c r="B18" s="14" t="n">
        <x:v>0.007099395725836</x:v>
      </x:c>
      <x:c r="C18" s="14" t="n">
        <x:v>0.045529034206546</x:v>
      </x:c>
      <x:c r="D18" s="14" t="n">
        <x:v>0.026314214966191</x:v>
      </x:c>
      <x:c r="E18" s="14" t="n">
        <x:v>0.029654321485452</x:v>
      </x:c>
      <x:c r="F18" s="14" t="n">
        <x:v>0.035207039211998</x:v>
      </x:c>
      <x:c r="G18" s="14" t="n">
        <x:v>0.032430680348725</x:v>
      </x:c>
      <x:c r="H18" s="14" t="n">
        <x:f>G18-D18</x:f>
        <x:v>0.0061164653825339955</x:v>
      </x:c>
      <x:c r="I18" s="14" t="n">
        <x:v>0.031334634633485</x:v>
      </x:c>
    </x:row>
    <x:row r="19" ht="24" customHeight="1">
      <x:c r="A19" s="9" t="str">
        <x:v>单词平均字符长度</x:v>
      </x:c>
      <x:c r="B19" s="15" t="n">
        <x:v>0.064334293557386</x:v>
      </x:c>
      <x:c r="C19" s="15" t="n">
        <x:v>0.047228672561499</x:v>
      </x:c>
      <x:c r="D19" s="15" t="n">
        <x:v>0.055781483059443</x:v>
      </x:c>
      <x:c r="E19" s="15" t="n">
        <x:v>0.050085278068706</x:v>
      </x:c>
      <x:c r="F19" s="15" t="n">
        <x:v>0.054144122908909</x:v>
      </x:c>
      <x:c r="G19" s="15" t="n">
        <x:v>0.052114700488807</x:v>
      </x:c>
      <x:c r="H19" s="14" t="n">
        <x:f>G19-D19</x:f>
        <x:v>-0.003666782570635997</x:v>
      </x:c>
      <x:c r="I19" s="15" t="n">
        <x:v>0.050388153307927</x:v>
      </x:c>
    </x:row>
    <x:row r="20" ht="24" customHeight="1">
      <x:c r="A20" s="2" t="str">
        <x:v>FineWeb教育价值</x:v>
      </x:c>
      <x:c r="B20" s="14" t="n">
        <x:v>0.024859987896392</x:v>
      </x:c>
      <x:c r="C20" s="14" t="n">
        <x:v>0.040155063476711</x:v>
      </x:c>
      <x:c r="D20" s="14" t="n">
        <x:v>0.032507525686551</x:v>
      </x:c>
      <x:c r="E20" s="14" t="n">
        <x:v>0.01283511094164</x:v>
      </x:c>
      <x:c r="F20" s="14" t="n">
        <x:v>0.026580958599692</x:v>
      </x:c>
      <x:c r="G20" s="14" t="n">
        <x:v>0.019708034770666</x:v>
      </x:c>
      <x:c r="H20" s="14" t="n">
        <x:f>G20-D20</x:f>
        <x:v>-0.012799490915885</x:v>
      </x:c>
      <x:c r="I20" s="14" t="n">
        <x:v>0.019214979845574</x:v>
      </x:c>
    </x:row>
    <x:row r="21" ht="24" customHeight="1">
      <x:c r="A21" s="9" t="str">
        <x:v>流畅度</x:v>
      </x:c>
      <x:c r="B21" s="15" t="n">
        <x:v>0.025066251009696</x:v>
      </x:c>
      <x:c r="C21" s="15" t="n">
        <x:v>0.059840314360267</x:v>
      </x:c>
      <x:c r="D21" s="15" t="n">
        <x:v>0.042453282684981</x:v>
      </x:c>
      <x:c r="E21" s="15" t="n">
        <x:v>0.060174826534144</x:v>
      </x:c>
      <x:c r="F21" s="15" t="n">
        <x:v>0.055336655956381</x:v>
      </x:c>
      <x:c r="G21" s="15" t="n">
        <x:v>0.057755741245263</x:v>
      </x:c>
      <x:c r="H21" s="14" t="n">
        <x:f>G21-D21</x:f>
        <x:v>0.015302458560282</x:v>
      </x:c>
      <x:c r="I21" s="15" t="n">
        <x:v>0.055351058100728</x:v>
      </x:c>
    </x:row>
    <x:row r="22" ht="24" customHeight="1">
      <x:c r="A22" s="2" t="str">
        <x:v>ModernBERT整洁性</x:v>
      </x:c>
      <x:c r="B22" s="14" t="n">
        <x:v>0.019813168057879</x:v>
      </x:c>
      <x:c r="C22" s="14" t="n">
        <x:v>0.049929206649894</x:v>
      </x:c>
      <x:c r="D22" s="14" t="n">
        <x:v>0.034871187353887</x:v>
      </x:c>
      <x:c r="E22" s="14" t="n">
        <x:v>0.047564111223075</x:v>
      </x:c>
      <x:c r="F22" s="14" t="n">
        <x:v>0.049412958544519</x:v>
      </x:c>
      <x:c r="G22" s="14" t="n">
        <x:v>0.048488534883797</x:v>
      </x:c>
      <x:c r="H22" s="14" t="n">
        <x:f>G22-D22</x:f>
        <x:v>0.01361734752991</x:v>
      </x:c>
      <x:c r="I22" s="14" t="n">
        <x:v>0.045988947323703</x:v>
      </x:c>
    </x:row>
    <x:row r="23" ht="24" customHeight="1">
      <x:c r="A23" s="9" t="str">
        <x:v>ModernBERT可读性</x:v>
      </x:c>
      <x:c r="B23" s="15" t="n">
        <x:v>0.026412669588588</x:v>
      </x:c>
      <x:c r="C23" s="15" t="n">
        <x:v>0.046432238960339</x:v>
      </x:c>
      <x:c r="D23" s="15" t="n">
        <x:v>0.036422454274463</x:v>
      </x:c>
      <x:c r="E23" s="15" t="n">
        <x:v>0.027352993980386</x:v>
      </x:c>
      <x:c r="F23" s="15" t="n">
        <x:v>0.024774867061263</x:v>
      </x:c>
      <x:c r="G23" s="15" t="n">
        <x:v>0.026063930520824</x:v>
      </x:c>
      <x:c r="H23" s="14" t="n">
        <x:f>G23-D23</x:f>
        <x:v>-0.010358523753639</x:v>
      </x:c>
      <x:c r="I23" s="15" t="n">
        <x:v>0.024953671759753</x:v>
      </x:c>
    </x:row>
    <x:row r="24" ht="24" customHeight="1">
      <x:c r="A24" s="2" t="str">
        <x:v>ModernBERT推理复杂度</x:v>
      </x:c>
      <x:c r="B24" s="14" t="n">
        <x:v>0.023896812815908</x:v>
      </x:c>
      <x:c r="C24" s="14" t="n">
        <x:v>0.063451886282154</x:v>
      </x:c>
      <x:c r="D24" s="14" t="n">
        <x:v>0.043674349549031</x:v>
      </x:c>
      <x:c r="E24" s="14" t="n">
        <x:v>0.05618347151557</x:v>
      </x:c>
      <x:c r="F24" s="14" t="n">
        <x:v>0.044073504436578</x:v>
      </x:c>
      <x:c r="G24" s="14" t="n">
        <x:v>0.050128487976074</x:v>
      </x:c>
      <x:c r="H24" s="14" t="n">
        <x:f>G24-D24</x:f>
        <x:v>0.006454138427042996</x:v>
      </x:c>
      <x:c r="I24" s="14" t="n">
        <x:v>0.048116350825332</x:v>
      </x:c>
    </x:row>
    <x:row r="25" ht="24" customHeight="1">
      <x:c r="A25" s="9" t="str">
        <x:v>ModernBERT专业性</x:v>
      </x:c>
      <x:c r="B25" s="15" t="n">
        <x:v>0.024333195685046</x:v>
      </x:c>
      <x:c r="C25" s="15" t="n">
        <x:v>0.060741506085264</x:v>
      </x:c>
      <x:c r="D25" s="15" t="n">
        <x:v>0.042537350885155</x:v>
      </x:c>
      <x:c r="E25" s="15" t="n">
        <x:v>0.05432886385976</x:v>
      </x:c>
      <x:c r="F25" s="15" t="n">
        <x:v>0.054581642217692</x:v>
      </x:c>
      <x:c r="G25" s="15" t="n">
        <x:v>0.054455253038726</x:v>
      </x:c>
      <x:c r="H25" s="14" t="n">
        <x:f>G25-D25</x:f>
        <x:v>0.011917902153570997</x:v>
      </x:c>
      <x:c r="I25" s="15" t="n">
        <x:v>0.05230869613872</x:v>
      </x:c>
    </x:row>
    <x:row r="26" ht="24" customHeight="1">
      <x:c r="A26" s="2" t="str">
        <x:v>QuRating列表均值</x:v>
      </x:c>
      <x:c r="B26" s="14" t="n">
        <x:v>0.031027723795329</x:v>
      </x:c>
      <x:c r="C26" s="14" t="n">
        <x:v>0.045879995869034</x:v>
      </x:c>
      <x:c r="D26" s="14" t="n">
        <x:v>0.038453859832182</x:v>
      </x:c>
      <x:c r="E26" s="14" t="n">
        <x:v>0.009930861535834</x:v>
      </x:c>
      <x:c r="F26" s="14" t="n">
        <x:v>0.024476563600425</x:v>
      </x:c>
      <x:c r="G26" s="14" t="n">
        <x:v>0.017203712568129</x:v>
      </x:c>
      <x:c r="H26" s="14" t="n">
        <x:f>G26-D26</x:f>
        <x:v>-0.021250147264052995</x:v>
      </x:c>
      <x:c r="I26" s="14" t="n">
        <x:v>0.057021239391644</x:v>
      </x:c>
    </x:row>
    <x:row r="27" ht="24" customHeight="1">
      <x:c r="A27" s="21" t="str">
        <x:v>广告检测列表均值</x:v>
      </x:c>
      <x:c r="B27" s="29" t="n">
        <x:v>0.038299968994269</x:v>
      </x:c>
      <x:c r="C27" s="29" t="n">
        <x:v>0.059461733045347</x:v>
      </x:c>
      <x:c r="D27" s="29" t="n">
        <x:v>0.048880851019808</x:v>
      </x:c>
      <x:c r="E27" s="29" t="n">
        <x:v>0.09608692642449</x:v>
      </x:c>
      <x:c r="F27" s="29" t="n">
        <x:v>0.055513919002377</x:v>
      </x:c>
      <x:c r="G27" s="29" t="n">
        <x:v>0.075800422713433</x:v>
      </x:c>
      <x:c r="H27" s="14" t="n">
        <x:f>G27-D27</x:f>
        <x:v>0.026919571693625</x:v>
      </x:c>
      <x:c r="I27" s="29" t="n">
        <x:v>0.072406242491401</x:v>
      </x:c>
    </x:row>
    <x:row r="28" ht="24" customHeight="1">
      <x:c r="A28" s="20" t="str">
        <x:v>合计</x:v>
      </x:c>
      <x:c r="B28" s="34" t="n">
        <x:f>SUM(B6:B27)</x:f>
        <x:v>0.999999999999999</x:v>
      </x:c>
      <x:c r="C28" s="34" t="n">
        <x:f>SUM(C6:C27)</x:f>
        <x:v>0.999999999999998</x:v>
      </x:c>
      <x:c r="D28" s="34" t="n">
        <x:f>SUM(D6:D27)</x:f>
        <x:v>0.9999999999999988</x:v>
      </x:c>
      <x:c r="E28" s="34" t="n">
        <x:f>SUM(E6:E27)</x:f>
        <x:v>1</x:v>
      </x:c>
      <x:c r="F28" s="34" t="n">
        <x:f>SUM(F6:F27)</x:f>
        <x:v>0.9999999999999991</x:v>
      </x:c>
      <x:c r="G28" s="34" t="n">
        <x:f>SUM(G6:G27)</x:f>
        <x:v>0.9999999999999979</x:v>
      </x:c>
      <x:c r="H28" s="34" t="n">
        <x:f>SUM(H6:H27)</x:f>
        <x:v>-9.957312752106873e-16</x:v>
      </x:c>
      <x:c r="I28" s="34" t="n">
        <x:f>SUM(I6:I27)</x:f>
        <x:v>1</x:v>
      </x:c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 t="str">
        <x:v>权重来源：全量实验结果。缺失值行为沿用原代码，详见分析报告。</x:v>
      </x:c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</x:sheetData>
  <x:pageMargins left="0.7" right="0.7" top="0.75" bottom="0.75" header="0.3" footer="0.3"/>
</x:worksheet>
</file>